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Algoritma dan Pemerograman 1\tugas 4\"/>
    </mc:Choice>
  </mc:AlternateContent>
  <xr:revisionPtr revIDLastSave="0" documentId="13_ncr:1_{8F3198E3-A877-4403-82D5-C43F3DF4C36B}" xr6:coauthVersionLast="47" xr6:coauthVersionMax="47" xr10:uidLastSave="{00000000-0000-0000-0000-000000000000}"/>
  <bookViews>
    <workbookView xWindow="-110" yWindow="-110" windowWidth="19420" windowHeight="10300" activeTab="2" xr2:uid="{F4C24AD7-347E-419E-AF1B-3A4F72FF3863}"/>
  </bookViews>
  <sheets>
    <sheet name="If2Kondisi" sheetId="1" r:id="rId1"/>
    <sheet name="Nilai" sheetId="2" r:id="rId2"/>
    <sheet name="IF AND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3" l="1"/>
  <c r="F7" i="3"/>
  <c r="F8" i="3"/>
  <c r="F9" i="3"/>
  <c r="F10" i="3"/>
  <c r="E7" i="3"/>
  <c r="E8" i="3"/>
  <c r="E9" i="3"/>
  <c r="E10" i="3"/>
  <c r="E6" i="3"/>
  <c r="D4" i="2"/>
  <c r="D5" i="2"/>
  <c r="D6" i="2"/>
  <c r="D7" i="2"/>
  <c r="D3" i="2"/>
  <c r="D4" i="1"/>
  <c r="D5" i="1"/>
  <c r="D6" i="1"/>
  <c r="D7" i="1"/>
  <c r="D3" i="1"/>
</calcChain>
</file>

<file path=xl/sharedStrings.xml><?xml version="1.0" encoding="utf-8"?>
<sst xmlns="http://schemas.openxmlformats.org/spreadsheetml/2006/main" count="98" uniqueCount="81">
  <si>
    <t xml:space="preserve">Tabel Penjualan </t>
  </si>
  <si>
    <t>Nama Barang</t>
  </si>
  <si>
    <t>Qty</t>
  </si>
  <si>
    <t>Diskon</t>
  </si>
  <si>
    <t>A</t>
  </si>
  <si>
    <t>B</t>
  </si>
  <si>
    <t>C</t>
  </si>
  <si>
    <t>D</t>
  </si>
  <si>
    <t>E</t>
  </si>
  <si>
    <t>Diskon 5% jika kondisi qty lebih besar dari 5</t>
  </si>
  <si>
    <t>Diskon 2% jika kondisi lebih dari 3</t>
  </si>
  <si>
    <t>Selain itu 0%</t>
  </si>
  <si>
    <t>NO</t>
  </si>
  <si>
    <t>1. Mulai</t>
  </si>
  <si>
    <t>2. Masukkan nilai Qty</t>
  </si>
  <si>
    <t>3. Jika Qty &gt; 5, maka diskon = 5%</t>
  </si>
  <si>
    <t>4. Jika tidak, periksa Qty &gt; 3</t>
  </si>
  <si>
    <t>Algoritma</t>
  </si>
  <si>
    <t>5. jika Qty &gt; 3, maka diskon = 2%</t>
  </si>
  <si>
    <t>6. jika tidak, maka diskon = 0%</t>
  </si>
  <si>
    <t>7. Tampilkan nilai diskon</t>
  </si>
  <si>
    <t>8.Selesai</t>
  </si>
  <si>
    <t>BEGIN
    INPUT Qty
    IF Qty &gt; 5 THEN
        Diskon ← 5%
    ELSE IF Qty &gt; 3 THEN
        Diskon ← 2%
    ELSE
        Diskon ← 0%
    END IF
    OUTPUT Diskon
END</t>
  </si>
  <si>
    <t>Tabel Nilai Siswa</t>
  </si>
  <si>
    <t xml:space="preserve">No </t>
  </si>
  <si>
    <t>Nama Siswa</t>
  </si>
  <si>
    <t>Nilai</t>
  </si>
  <si>
    <t>Keterangan</t>
  </si>
  <si>
    <t>&gt;=90</t>
  </si>
  <si>
    <t>&gt;=80</t>
  </si>
  <si>
    <t>&gt;=70</t>
  </si>
  <si>
    <t>&gt;=60</t>
  </si>
  <si>
    <t>selain itu</t>
  </si>
  <si>
    <t>Pseudocode</t>
  </si>
  <si>
    <t>RUMUS= {=IF(C4&gt;=90;"A";IF(C4&gt;=80;"B";IF(C4&gt;=70;"C";IF(C4&gt;=60;))))}</t>
  </si>
  <si>
    <t xml:space="preserve">Algoritma </t>
  </si>
  <si>
    <t xml:space="preserve">1. Mulai </t>
  </si>
  <si>
    <t>2. Masukkan Nilai Siswa</t>
  </si>
  <si>
    <t>8. Tampil Hasil Keterangan</t>
  </si>
  <si>
    <t>9. Selesai</t>
  </si>
  <si>
    <t>Pseudecode</t>
  </si>
  <si>
    <t>4. Jika tidak, Jika Nilai &gt;=80, maka Keterangan = B</t>
  </si>
  <si>
    <t>5. Jika tidak, jika Nilai &gt;=70, maka Keterangan = C</t>
  </si>
  <si>
    <t>6. Jika tidak, jika Nilai &gt;=60, maka Keterangan = D</t>
  </si>
  <si>
    <t>BEGIN
    INPUT Nilai Siswa
    IF Nilai &gt;= 90 THEN
        Keterangan ← "A"
    ELSE IF Nilai &gt;= 80 THEN
        Keterangan ← "B"
    ELSE IF Nilai &gt;= 70 THEN
        Keterangan ← "C"
    ELSE IF Nilai &gt;= 60 THEN
        Keterangan ← "D"
    ELSE
        Keterangan ← "E"
    END IF
    OUTPUT Keterangan
END</t>
  </si>
  <si>
    <t>7. Jika tidak , jika Nilai selain itu, maka Keterangan = E</t>
  </si>
  <si>
    <t>3. Jika Nilai &gt;=90, maka Keterangan = A</t>
  </si>
  <si>
    <t>Data toko</t>
  </si>
  <si>
    <t>DJOVITA ASMARA</t>
  </si>
  <si>
    <t>No</t>
  </si>
  <si>
    <t>Nama Pelanggan</t>
  </si>
  <si>
    <t xml:space="preserve">Total </t>
  </si>
  <si>
    <t>Total Bayar</t>
  </si>
  <si>
    <t>Status Member</t>
  </si>
  <si>
    <t>Ya</t>
  </si>
  <si>
    <t>Tidak</t>
  </si>
  <si>
    <t>1.</t>
  </si>
  <si>
    <t>2.</t>
  </si>
  <si>
    <t>3.</t>
  </si>
  <si>
    <t>4.</t>
  </si>
  <si>
    <t>5.</t>
  </si>
  <si>
    <t>Andi</t>
  </si>
  <si>
    <t>Budi</t>
  </si>
  <si>
    <t>Citra</t>
  </si>
  <si>
    <t>Dedi</t>
  </si>
  <si>
    <t>Eko</t>
  </si>
  <si>
    <t>Kasus</t>
  </si>
  <si>
    <t>sebuah toko memberikan diskon 10% kepada pelanggan jika memenuhi dua syarat sekaligus</t>
  </si>
  <si>
    <t>1. Total belanja minimal Rp. 500.000</t>
  </si>
  <si>
    <t>2. Pelanggan memiliki status Member</t>
  </si>
  <si>
    <t>jika kedua syarat terpenuhi --&gt; Diskon 10%</t>
  </si>
  <si>
    <t>jika salah satu atau kedua syarat tidak terpenuhi -&gt;Tidak mendapat diskon</t>
  </si>
  <si>
    <t>ALGORITMA</t>
  </si>
  <si>
    <t>2. Masukkan total belanja</t>
  </si>
  <si>
    <t>3. Masukka Status Member</t>
  </si>
  <si>
    <t>4. Jika total belanja &gt;= 500000 DAN Status Member = Ya, maka Diskon = 10%</t>
  </si>
  <si>
    <t>5. Jika salah satu atau kedua syarat tidak terpenuhi, maka Diskon = 0%</t>
  </si>
  <si>
    <t>7. Tampilkan Diskon</t>
  </si>
  <si>
    <t>8. Tampilkan Total Bayar</t>
  </si>
  <si>
    <t>6. Hitung Total Bayar = Total Belanja - Diskon</t>
  </si>
  <si>
    <t>BEGIN
    INPUT Total_Belanja
    INPUT Status_Member
    IF Total_Belanja &gt;= 500000 AND Status_Member = "Ya" THEN
        Diskon ← 10%
    ELSE
        Diskon ← 0%
    END IF
    Total_Bayar ← (Total_Belanja - Diskon)
    OUTPUT Diskon
    OUTPUT Total_Bayar
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</si>
</sst>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6" formatCode="_-[$Rp-3809]* #,##0.00_-;\-[$Rp-3809]* #,##0.00_-;_-[$Rp-3809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66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4" fontId="0" fillId="0" borderId="1" xfId="0" applyNumberFormat="1" applyBorder="1"/>
    <xf numFmtId="0" fontId="3" fillId="11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0" fillId="3" borderId="0" xfId="0" applyFill="1"/>
    <xf numFmtId="0" fontId="0" fillId="13" borderId="6" xfId="0" applyFill="1" applyBorder="1" applyAlignment="1">
      <alignment horizontal="center"/>
    </xf>
    <xf numFmtId="0" fontId="0" fillId="13" borderId="5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FF70-C4FE-47B5-AF2E-2DAF409B572D}">
  <dimension ref="A1:G27"/>
  <sheetViews>
    <sheetView zoomScale="83" workbookViewId="0">
      <selection activeCell="I13" sqref="I13"/>
    </sheetView>
  </sheetViews>
  <sheetFormatPr defaultRowHeight="14.5" x14ac:dyDescent="0.35"/>
  <cols>
    <col min="1" max="1" width="8.7265625" customWidth="1"/>
    <col min="2" max="2" width="12.26953125" customWidth="1"/>
  </cols>
  <sheetData>
    <row r="1" spans="1:7" x14ac:dyDescent="0.35">
      <c r="A1" s="6" t="s">
        <v>0</v>
      </c>
      <c r="B1" s="6"/>
      <c r="C1" s="6"/>
      <c r="D1" s="6"/>
    </row>
    <row r="2" spans="1:7" x14ac:dyDescent="0.35">
      <c r="A2" s="2" t="s">
        <v>12</v>
      </c>
      <c r="B2" s="2" t="s">
        <v>1</v>
      </c>
      <c r="C2" s="2" t="s">
        <v>2</v>
      </c>
      <c r="D2" s="2" t="s">
        <v>3</v>
      </c>
    </row>
    <row r="3" spans="1:7" x14ac:dyDescent="0.35">
      <c r="A3" s="1">
        <v>1</v>
      </c>
      <c r="B3" s="1" t="s">
        <v>4</v>
      </c>
      <c r="C3" s="1">
        <v>20</v>
      </c>
      <c r="D3" s="3">
        <f>IF(C3&gt;5,5%,IF(C3&gt;3,2%,0))</f>
        <v>0.05</v>
      </c>
    </row>
    <row r="4" spans="1:7" x14ac:dyDescent="0.35">
      <c r="A4" s="1">
        <v>2</v>
      </c>
      <c r="B4" s="1" t="s">
        <v>5</v>
      </c>
      <c r="C4" s="1">
        <v>10</v>
      </c>
      <c r="D4" s="3">
        <f t="shared" ref="D4:D7" si="0">IF(C4&gt;5,5%,IF(C4&gt;3,2%,0))</f>
        <v>0.05</v>
      </c>
    </row>
    <row r="5" spans="1:7" x14ac:dyDescent="0.35">
      <c r="A5" s="1">
        <v>3</v>
      </c>
      <c r="B5" s="1" t="s">
        <v>6</v>
      </c>
      <c r="C5" s="1">
        <v>5</v>
      </c>
      <c r="D5" s="3">
        <f t="shared" si="0"/>
        <v>0.02</v>
      </c>
    </row>
    <row r="6" spans="1:7" x14ac:dyDescent="0.35">
      <c r="A6" s="1">
        <v>4</v>
      </c>
      <c r="B6" s="1" t="s">
        <v>7</v>
      </c>
      <c r="C6" s="1">
        <v>9</v>
      </c>
      <c r="D6" s="3">
        <f t="shared" si="0"/>
        <v>0.05</v>
      </c>
    </row>
    <row r="7" spans="1:7" x14ac:dyDescent="0.35">
      <c r="A7" s="1">
        <v>5</v>
      </c>
      <c r="B7" s="1" t="s">
        <v>8</v>
      </c>
      <c r="C7" s="1">
        <v>1</v>
      </c>
      <c r="D7" s="3">
        <f t="shared" si="0"/>
        <v>0</v>
      </c>
    </row>
    <row r="9" spans="1:7" x14ac:dyDescent="0.35">
      <c r="B9" s="7" t="s">
        <v>9</v>
      </c>
      <c r="C9" s="7"/>
      <c r="D9" s="7"/>
      <c r="E9" s="7"/>
      <c r="F9" s="7"/>
    </row>
    <row r="10" spans="1:7" x14ac:dyDescent="0.35">
      <c r="B10" s="8" t="s">
        <v>10</v>
      </c>
      <c r="C10" s="8"/>
      <c r="D10" s="8"/>
      <c r="E10" s="8"/>
      <c r="F10" s="8"/>
    </row>
    <row r="11" spans="1:7" x14ac:dyDescent="0.35">
      <c r="B11" s="8" t="s">
        <v>11</v>
      </c>
      <c r="C11" s="8"/>
      <c r="D11" s="8"/>
      <c r="E11" s="8"/>
      <c r="F11" s="8"/>
    </row>
    <row r="12" spans="1:7" x14ac:dyDescent="0.35">
      <c r="A12" s="14" t="s">
        <v>17</v>
      </c>
      <c r="B12" s="14"/>
      <c r="C12" s="14"/>
      <c r="E12" s="9" t="s">
        <v>33</v>
      </c>
      <c r="F12" s="9"/>
      <c r="G12" s="9"/>
    </row>
    <row r="13" spans="1:7" ht="14.5" customHeight="1" x14ac:dyDescent="0.35">
      <c r="A13" s="13" t="s">
        <v>13</v>
      </c>
      <c r="B13" s="13"/>
      <c r="C13" s="13"/>
      <c r="E13" s="10" t="s">
        <v>22</v>
      </c>
      <c r="F13" s="10"/>
      <c r="G13" s="10"/>
    </row>
    <row r="14" spans="1:7" x14ac:dyDescent="0.35">
      <c r="A14" s="12" t="s">
        <v>14</v>
      </c>
      <c r="B14" s="12"/>
      <c r="C14" s="12"/>
      <c r="E14" s="10"/>
      <c r="F14" s="10"/>
      <c r="G14" s="10"/>
    </row>
    <row r="15" spans="1:7" x14ac:dyDescent="0.35">
      <c r="A15" s="11" t="s">
        <v>15</v>
      </c>
      <c r="B15" s="11"/>
      <c r="C15" s="11"/>
      <c r="E15" s="10"/>
      <c r="F15" s="10"/>
      <c r="G15" s="10"/>
    </row>
    <row r="16" spans="1:7" x14ac:dyDescent="0.35">
      <c r="A16" s="12" t="s">
        <v>16</v>
      </c>
      <c r="B16" s="12"/>
      <c r="C16" s="12"/>
      <c r="E16" s="10"/>
      <c r="F16" s="10"/>
      <c r="G16" s="10"/>
    </row>
    <row r="17" spans="1:7" x14ac:dyDescent="0.35">
      <c r="A17" s="11" t="s">
        <v>18</v>
      </c>
      <c r="B17" s="11"/>
      <c r="C17" s="11"/>
      <c r="E17" s="10"/>
      <c r="F17" s="10"/>
      <c r="G17" s="10"/>
    </row>
    <row r="18" spans="1:7" x14ac:dyDescent="0.35">
      <c r="A18" s="11" t="s">
        <v>19</v>
      </c>
      <c r="B18" s="11"/>
      <c r="C18" s="11"/>
      <c r="E18" s="10"/>
      <c r="F18" s="10"/>
      <c r="G18" s="10"/>
    </row>
    <row r="19" spans="1:7" x14ac:dyDescent="0.35">
      <c r="A19" s="11" t="s">
        <v>20</v>
      </c>
      <c r="B19" s="11"/>
      <c r="C19" s="11"/>
      <c r="E19" s="10"/>
      <c r="F19" s="10"/>
      <c r="G19" s="10"/>
    </row>
    <row r="20" spans="1:7" x14ac:dyDescent="0.35">
      <c r="A20" s="15" t="s">
        <v>21</v>
      </c>
      <c r="B20" s="16"/>
      <c r="C20" s="17"/>
      <c r="E20" s="10"/>
      <c r="F20" s="10"/>
      <c r="G20" s="10"/>
    </row>
    <row r="21" spans="1:7" x14ac:dyDescent="0.35">
      <c r="E21" s="10"/>
      <c r="F21" s="10"/>
      <c r="G21" s="10"/>
    </row>
    <row r="22" spans="1:7" x14ac:dyDescent="0.35">
      <c r="E22" s="10"/>
      <c r="F22" s="10"/>
      <c r="G22" s="10"/>
    </row>
    <row r="23" spans="1:7" x14ac:dyDescent="0.35">
      <c r="E23" s="10"/>
      <c r="F23" s="10"/>
      <c r="G23" s="10"/>
    </row>
    <row r="24" spans="1:7" x14ac:dyDescent="0.35">
      <c r="E24" s="10"/>
      <c r="F24" s="10"/>
      <c r="G24" s="10"/>
    </row>
    <row r="25" spans="1:7" x14ac:dyDescent="0.35">
      <c r="E25" s="10"/>
      <c r="F25" s="10"/>
      <c r="G25" s="10"/>
    </row>
    <row r="26" spans="1:7" x14ac:dyDescent="0.35">
      <c r="E26" s="10"/>
      <c r="F26" s="10"/>
      <c r="G26" s="10"/>
    </row>
    <row r="27" spans="1:7" x14ac:dyDescent="0.35">
      <c r="E27" s="10"/>
      <c r="F27" s="10"/>
      <c r="G27" s="10"/>
    </row>
  </sheetData>
  <mergeCells count="15">
    <mergeCell ref="E13:G27"/>
    <mergeCell ref="A19:C19"/>
    <mergeCell ref="A14:C14"/>
    <mergeCell ref="A13:C13"/>
    <mergeCell ref="A12:C12"/>
    <mergeCell ref="A20:C20"/>
    <mergeCell ref="A16:C16"/>
    <mergeCell ref="A17:C17"/>
    <mergeCell ref="A18:C18"/>
    <mergeCell ref="A15:C15"/>
    <mergeCell ref="A1:D1"/>
    <mergeCell ref="B9:F9"/>
    <mergeCell ref="B10:F10"/>
    <mergeCell ref="B11:F11"/>
    <mergeCell ref="E12:G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A652-EB12-4EB9-A73E-92EB0F2B3C0F}">
  <dimension ref="A1:O24"/>
  <sheetViews>
    <sheetView topLeftCell="A5" zoomScale="70" zoomScaleNormal="40" workbookViewId="0">
      <selection activeCell="F8" sqref="F8:J8"/>
    </sheetView>
  </sheetViews>
  <sheetFormatPr defaultRowHeight="14.5" x14ac:dyDescent="0.35"/>
  <cols>
    <col min="2" max="2" width="13.26953125" customWidth="1"/>
    <col min="4" max="4" width="11.1796875" customWidth="1"/>
  </cols>
  <sheetData>
    <row r="1" spans="1:15" x14ac:dyDescent="0.35">
      <c r="A1" s="18" t="s">
        <v>23</v>
      </c>
      <c r="B1" s="18"/>
      <c r="C1" s="18"/>
      <c r="D1" s="18"/>
    </row>
    <row r="2" spans="1:15" x14ac:dyDescent="0.35">
      <c r="A2" s="5" t="s">
        <v>24</v>
      </c>
      <c r="B2" s="5" t="s">
        <v>25</v>
      </c>
      <c r="C2" s="5" t="s">
        <v>26</v>
      </c>
      <c r="D2" s="5" t="s">
        <v>27</v>
      </c>
      <c r="F2" s="19" t="s">
        <v>34</v>
      </c>
      <c r="G2" s="19"/>
      <c r="H2" s="19"/>
      <c r="I2" s="19"/>
      <c r="J2" s="19"/>
      <c r="K2" s="19"/>
      <c r="L2" s="19"/>
    </row>
    <row r="3" spans="1:15" x14ac:dyDescent="0.35">
      <c r="A3" s="1">
        <v>1</v>
      </c>
      <c r="B3" s="1" t="s">
        <v>4</v>
      </c>
      <c r="C3" s="1">
        <v>10</v>
      </c>
      <c r="D3" s="1" t="str">
        <f>IF(C3&gt;=90,"A",IF(C3&gt;=80,"B",IF(C3&gt;=70,"C",IF(C3&gt;=60,"D",IF(C3&lt;60,"E")))))</f>
        <v>E</v>
      </c>
      <c r="F3" s="19"/>
      <c r="G3" s="19"/>
      <c r="H3" s="19"/>
      <c r="I3" s="19"/>
      <c r="J3" s="19"/>
      <c r="K3" s="19"/>
      <c r="L3" s="19"/>
    </row>
    <row r="4" spans="1:15" x14ac:dyDescent="0.35">
      <c r="A4" s="1">
        <v>2</v>
      </c>
      <c r="B4" s="1" t="s">
        <v>5</v>
      </c>
      <c r="C4" s="1">
        <v>100</v>
      </c>
      <c r="D4" s="1" t="str">
        <f t="shared" ref="D4:D7" si="0">IF(C4&gt;=90,"A",IF(C4&gt;=80,"B",IF(C4&gt;=70,"C",IF(C4&gt;=60,"D",IF(C4&lt;60,"E")))))</f>
        <v>A</v>
      </c>
    </row>
    <row r="5" spans="1:15" x14ac:dyDescent="0.35">
      <c r="A5" s="1">
        <v>3</v>
      </c>
      <c r="B5" s="1" t="s">
        <v>6</v>
      </c>
      <c r="C5" s="1">
        <v>87</v>
      </c>
      <c r="D5" s="1" t="str">
        <f t="shared" si="0"/>
        <v>B</v>
      </c>
      <c r="F5" s="25" t="s">
        <v>35</v>
      </c>
      <c r="G5" s="25"/>
      <c r="H5" s="25"/>
      <c r="I5" s="25"/>
      <c r="J5" s="25"/>
      <c r="M5" s="20" t="s">
        <v>40</v>
      </c>
      <c r="N5" s="20"/>
      <c r="O5" s="20"/>
    </row>
    <row r="6" spans="1:15" ht="14.5" customHeight="1" x14ac:dyDescent="0.35">
      <c r="A6" s="1">
        <v>4</v>
      </c>
      <c r="B6" s="1" t="s">
        <v>7</v>
      </c>
      <c r="C6" s="1">
        <v>70</v>
      </c>
      <c r="D6" s="1" t="str">
        <f t="shared" si="0"/>
        <v>C</v>
      </c>
      <c r="F6" s="26" t="s">
        <v>36</v>
      </c>
      <c r="G6" s="26"/>
      <c r="H6" s="26"/>
      <c r="I6" s="26"/>
      <c r="J6" s="26"/>
      <c r="M6" s="21" t="s">
        <v>44</v>
      </c>
      <c r="N6" s="21"/>
      <c r="O6" s="21"/>
    </row>
    <row r="7" spans="1:15" x14ac:dyDescent="0.35">
      <c r="A7" s="1">
        <v>5</v>
      </c>
      <c r="B7" s="1" t="s">
        <v>8</v>
      </c>
      <c r="C7" s="1">
        <v>30</v>
      </c>
      <c r="D7" s="1" t="str">
        <f t="shared" si="0"/>
        <v>E</v>
      </c>
      <c r="F7" s="26" t="s">
        <v>37</v>
      </c>
      <c r="G7" s="26"/>
      <c r="H7" s="26"/>
      <c r="I7" s="26"/>
      <c r="J7" s="26"/>
      <c r="M7" s="21"/>
      <c r="N7" s="21"/>
      <c r="O7" s="21"/>
    </row>
    <row r="8" spans="1:15" x14ac:dyDescent="0.35">
      <c r="F8" s="22" t="s">
        <v>46</v>
      </c>
      <c r="G8" s="23"/>
      <c r="H8" s="23"/>
      <c r="I8" s="23"/>
      <c r="J8" s="24"/>
      <c r="M8" s="21"/>
      <c r="N8" s="21"/>
      <c r="O8" s="21"/>
    </row>
    <row r="9" spans="1:15" x14ac:dyDescent="0.35">
      <c r="F9" s="22" t="s">
        <v>41</v>
      </c>
      <c r="G9" s="23"/>
      <c r="H9" s="23"/>
      <c r="I9" s="23"/>
      <c r="J9" s="24"/>
      <c r="M9" s="21"/>
      <c r="N9" s="21"/>
      <c r="O9" s="21"/>
    </row>
    <row r="10" spans="1:15" x14ac:dyDescent="0.35">
      <c r="F10" s="22" t="s">
        <v>42</v>
      </c>
      <c r="G10" s="23"/>
      <c r="H10" s="23"/>
      <c r="I10" s="23"/>
      <c r="J10" s="24"/>
      <c r="M10" s="21"/>
      <c r="N10" s="21"/>
      <c r="O10" s="21"/>
    </row>
    <row r="11" spans="1:15" x14ac:dyDescent="0.35">
      <c r="B11" s="4" t="s">
        <v>28</v>
      </c>
      <c r="C11" s="4" t="s">
        <v>4</v>
      </c>
      <c r="F11" s="22" t="s">
        <v>43</v>
      </c>
      <c r="G11" s="23"/>
      <c r="H11" s="23"/>
      <c r="I11" s="23"/>
      <c r="J11" s="24"/>
      <c r="M11" s="21"/>
      <c r="N11" s="21"/>
      <c r="O11" s="21"/>
    </row>
    <row r="12" spans="1:15" x14ac:dyDescent="0.35">
      <c r="B12" s="4" t="s">
        <v>29</v>
      </c>
      <c r="C12" s="4" t="s">
        <v>5</v>
      </c>
      <c r="F12" s="22" t="s">
        <v>45</v>
      </c>
      <c r="G12" s="23"/>
      <c r="H12" s="23"/>
      <c r="I12" s="23"/>
      <c r="J12" s="24"/>
      <c r="M12" s="21"/>
      <c r="N12" s="21"/>
      <c r="O12" s="21"/>
    </row>
    <row r="13" spans="1:15" x14ac:dyDescent="0.35">
      <c r="B13" s="4" t="s">
        <v>30</v>
      </c>
      <c r="C13" s="4" t="s">
        <v>6</v>
      </c>
      <c r="F13" s="26" t="s">
        <v>38</v>
      </c>
      <c r="G13" s="26"/>
      <c r="H13" s="26"/>
      <c r="I13" s="26"/>
      <c r="J13" s="26"/>
      <c r="M13" s="21"/>
      <c r="N13" s="21"/>
      <c r="O13" s="21"/>
    </row>
    <row r="14" spans="1:15" x14ac:dyDescent="0.35">
      <c r="B14" s="4" t="s">
        <v>31</v>
      </c>
      <c r="C14" s="4" t="s">
        <v>7</v>
      </c>
      <c r="F14" s="26" t="s">
        <v>39</v>
      </c>
      <c r="G14" s="26"/>
      <c r="H14" s="26"/>
      <c r="I14" s="26"/>
      <c r="J14" s="26"/>
      <c r="M14" s="21"/>
      <c r="N14" s="21"/>
      <c r="O14" s="21"/>
    </row>
    <row r="15" spans="1:15" x14ac:dyDescent="0.35">
      <c r="B15" s="4" t="s">
        <v>32</v>
      </c>
      <c r="C15" s="4" t="s">
        <v>8</v>
      </c>
      <c r="M15" s="21"/>
      <c r="N15" s="21"/>
      <c r="O15" s="21"/>
    </row>
    <row r="16" spans="1:15" x14ac:dyDescent="0.35">
      <c r="M16" s="21"/>
      <c r="N16" s="21"/>
      <c r="O16" s="21"/>
    </row>
    <row r="17" spans="13:15" x14ac:dyDescent="0.35">
      <c r="M17" s="21"/>
      <c r="N17" s="21"/>
      <c r="O17" s="21"/>
    </row>
    <row r="18" spans="13:15" x14ac:dyDescent="0.35">
      <c r="M18" s="21"/>
      <c r="N18" s="21"/>
      <c r="O18" s="21"/>
    </row>
    <row r="19" spans="13:15" x14ac:dyDescent="0.35">
      <c r="M19" s="21"/>
      <c r="N19" s="21"/>
      <c r="O19" s="21"/>
    </row>
    <row r="20" spans="13:15" x14ac:dyDescent="0.35">
      <c r="M20" s="21"/>
      <c r="N20" s="21"/>
      <c r="O20" s="21"/>
    </row>
    <row r="21" spans="13:15" x14ac:dyDescent="0.35">
      <c r="M21" s="21"/>
      <c r="N21" s="21"/>
      <c r="O21" s="21"/>
    </row>
    <row r="22" spans="13:15" x14ac:dyDescent="0.35">
      <c r="M22" s="21"/>
      <c r="N22" s="21"/>
      <c r="O22" s="21"/>
    </row>
    <row r="23" spans="13:15" x14ac:dyDescent="0.35">
      <c r="M23" s="21"/>
      <c r="N23" s="21"/>
      <c r="O23" s="21"/>
    </row>
    <row r="24" spans="13:15" x14ac:dyDescent="0.35">
      <c r="M24" s="21"/>
      <c r="N24" s="21"/>
      <c r="O24" s="21"/>
    </row>
  </sheetData>
  <mergeCells count="14">
    <mergeCell ref="A1:D1"/>
    <mergeCell ref="F2:L3"/>
    <mergeCell ref="M5:O5"/>
    <mergeCell ref="M6:O24"/>
    <mergeCell ref="F12:J12"/>
    <mergeCell ref="F9:J9"/>
    <mergeCell ref="F8:J8"/>
    <mergeCell ref="F10:J10"/>
    <mergeCell ref="F11:J11"/>
    <mergeCell ref="F5:J5"/>
    <mergeCell ref="F6:J6"/>
    <mergeCell ref="F7:J7"/>
    <mergeCell ref="F13:J13"/>
    <mergeCell ref="F14:J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D3A5-2D68-4D4C-8B0B-0BAD663A591C}">
  <dimension ref="A1:N43"/>
  <sheetViews>
    <sheetView tabSelected="1" zoomScale="95" workbookViewId="0">
      <selection activeCell="J8" sqref="J8"/>
    </sheetView>
  </sheetViews>
  <sheetFormatPr defaultRowHeight="14.5" x14ac:dyDescent="0.35"/>
  <cols>
    <col min="2" max="2" width="17.26953125" customWidth="1"/>
    <col min="3" max="3" width="16.6328125" customWidth="1"/>
    <col min="4" max="4" width="14" customWidth="1"/>
    <col min="5" max="5" width="16.90625" customWidth="1"/>
    <col min="6" max="6" width="16.36328125" customWidth="1"/>
  </cols>
  <sheetData>
    <row r="1" spans="1:7" ht="15.5" x14ac:dyDescent="0.35">
      <c r="A1" s="30" t="s">
        <v>47</v>
      </c>
      <c r="B1" s="30"/>
      <c r="C1" s="30"/>
      <c r="D1" s="30"/>
      <c r="E1" s="30"/>
      <c r="F1" s="30"/>
    </row>
    <row r="2" spans="1:7" ht="15.5" x14ac:dyDescent="0.35">
      <c r="A2" s="30" t="s">
        <v>48</v>
      </c>
      <c r="B2" s="30"/>
      <c r="C2" s="30"/>
      <c r="D2" s="30"/>
      <c r="E2" s="30"/>
      <c r="F2" s="30"/>
    </row>
    <row r="5" spans="1:7" x14ac:dyDescent="0.35">
      <c r="A5" s="31" t="s">
        <v>49</v>
      </c>
      <c r="B5" s="31" t="s">
        <v>50</v>
      </c>
      <c r="C5" s="31" t="s">
        <v>51</v>
      </c>
      <c r="D5" s="31" t="s">
        <v>53</v>
      </c>
      <c r="E5" s="31" t="s">
        <v>3</v>
      </c>
      <c r="F5" s="31" t="s">
        <v>52</v>
      </c>
    </row>
    <row r="6" spans="1:7" x14ac:dyDescent="0.35">
      <c r="A6" s="1" t="s">
        <v>56</v>
      </c>
      <c r="B6" s="1" t="s">
        <v>61</v>
      </c>
      <c r="C6" s="27">
        <v>750000</v>
      </c>
      <c r="D6" s="1" t="s">
        <v>54</v>
      </c>
      <c r="E6" s="29">
        <f>IF(AND(C6&gt;=500000,D6="Ya"),10%*C6,0)</f>
        <v>75000</v>
      </c>
      <c r="F6" s="27">
        <f>C6-E6</f>
        <v>675000</v>
      </c>
    </row>
    <row r="7" spans="1:7" x14ac:dyDescent="0.35">
      <c r="A7" s="1" t="s">
        <v>57</v>
      </c>
      <c r="B7" s="1" t="s">
        <v>62</v>
      </c>
      <c r="C7" s="27">
        <v>450000</v>
      </c>
      <c r="D7" s="1" t="s">
        <v>55</v>
      </c>
      <c r="E7" s="29">
        <f t="shared" ref="E7:E10" si="0">IF(AND(C7&gt;=500000,D7="Ya"),10%*C7,0)</f>
        <v>0</v>
      </c>
      <c r="F7" s="27">
        <f t="shared" ref="F7:F10" si="1">C7-E7</f>
        <v>450000</v>
      </c>
    </row>
    <row r="8" spans="1:7" x14ac:dyDescent="0.35">
      <c r="A8" s="1" t="s">
        <v>58</v>
      </c>
      <c r="B8" s="1" t="s">
        <v>63</v>
      </c>
      <c r="C8" s="27">
        <v>600000</v>
      </c>
      <c r="D8" s="1" t="s">
        <v>54</v>
      </c>
      <c r="E8" s="29">
        <f t="shared" si="0"/>
        <v>60000</v>
      </c>
      <c r="F8" s="27">
        <f t="shared" si="1"/>
        <v>540000</v>
      </c>
    </row>
    <row r="9" spans="1:7" x14ac:dyDescent="0.35">
      <c r="A9" s="1" t="s">
        <v>59</v>
      </c>
      <c r="B9" s="1" t="s">
        <v>64</v>
      </c>
      <c r="C9" s="27">
        <v>850000</v>
      </c>
      <c r="D9" s="1" t="s">
        <v>54</v>
      </c>
      <c r="E9" s="29">
        <f t="shared" si="0"/>
        <v>85000</v>
      </c>
      <c r="F9" s="27">
        <f t="shared" si="1"/>
        <v>765000</v>
      </c>
    </row>
    <row r="10" spans="1:7" x14ac:dyDescent="0.35">
      <c r="A10" s="1" t="s">
        <v>60</v>
      </c>
      <c r="B10" s="1" t="s">
        <v>65</v>
      </c>
      <c r="C10" s="27">
        <v>300000</v>
      </c>
      <c r="D10" s="1" t="s">
        <v>55</v>
      </c>
      <c r="E10" s="29">
        <f t="shared" si="0"/>
        <v>0</v>
      </c>
      <c r="F10" s="27">
        <f t="shared" si="1"/>
        <v>300000</v>
      </c>
    </row>
    <row r="13" spans="1:7" x14ac:dyDescent="0.35">
      <c r="A13" s="28" t="s">
        <v>66</v>
      </c>
    </row>
    <row r="14" spans="1:7" x14ac:dyDescent="0.35">
      <c r="A14" s="32" t="s">
        <v>67</v>
      </c>
      <c r="B14" s="32"/>
      <c r="C14" s="32"/>
      <c r="D14" s="32"/>
      <c r="E14" s="32"/>
      <c r="F14" s="32"/>
      <c r="G14" s="32"/>
    </row>
    <row r="15" spans="1:7" x14ac:dyDescent="0.35">
      <c r="A15" s="33" t="s">
        <v>68</v>
      </c>
      <c r="B15" s="33"/>
      <c r="C15" s="33"/>
      <c r="D15" s="34"/>
      <c r="E15" s="34"/>
      <c r="F15" s="34"/>
      <c r="G15" s="34"/>
    </row>
    <row r="16" spans="1:7" x14ac:dyDescent="0.35">
      <c r="A16" s="33" t="s">
        <v>69</v>
      </c>
      <c r="B16" s="33"/>
      <c r="C16" s="33"/>
      <c r="D16" s="34"/>
      <c r="E16" s="34"/>
      <c r="F16" s="34"/>
      <c r="G16" s="34"/>
    </row>
    <row r="17" spans="1:14" x14ac:dyDescent="0.35">
      <c r="A17" s="33" t="s">
        <v>70</v>
      </c>
      <c r="B17" s="33"/>
      <c r="C17" s="33"/>
      <c r="D17" s="34"/>
      <c r="E17" s="34"/>
      <c r="F17" s="34"/>
      <c r="G17" s="34"/>
    </row>
    <row r="18" spans="1:14" x14ac:dyDescent="0.35">
      <c r="A18" s="33" t="s">
        <v>71</v>
      </c>
      <c r="B18" s="33"/>
      <c r="C18" s="33"/>
      <c r="D18" s="33"/>
      <c r="E18" s="33"/>
      <c r="F18" s="34"/>
      <c r="G18" s="34"/>
    </row>
    <row r="21" spans="1:14" x14ac:dyDescent="0.35">
      <c r="A21" s="35" t="s">
        <v>72</v>
      </c>
      <c r="B21" s="35"/>
      <c r="C21" s="35"/>
      <c r="D21" s="35"/>
      <c r="E21" s="35"/>
      <c r="G21" s="39" t="s">
        <v>40</v>
      </c>
      <c r="H21" s="40"/>
      <c r="I21" s="40"/>
      <c r="J21" s="40"/>
      <c r="K21" s="40"/>
      <c r="L21" s="40"/>
      <c r="M21" s="40"/>
    </row>
    <row r="22" spans="1:14" ht="14.5" customHeight="1" x14ac:dyDescent="0.35">
      <c r="A22" s="26" t="s">
        <v>13</v>
      </c>
      <c r="B22" s="26"/>
      <c r="C22" s="26"/>
      <c r="D22" s="26"/>
      <c r="E22" s="26"/>
      <c r="G22" s="36" t="s">
        <v>80</v>
      </c>
      <c r="H22" s="36"/>
      <c r="I22" s="36"/>
      <c r="J22" s="36"/>
      <c r="K22" s="36"/>
      <c r="L22" s="36"/>
      <c r="M22" s="36"/>
      <c r="N22" s="37"/>
    </row>
    <row r="23" spans="1:14" x14ac:dyDescent="0.35">
      <c r="A23" s="26" t="s">
        <v>73</v>
      </c>
      <c r="B23" s="26"/>
      <c r="C23" s="26"/>
      <c r="D23" s="26"/>
      <c r="E23" s="26"/>
      <c r="G23" s="36"/>
      <c r="H23" s="36"/>
      <c r="I23" s="36"/>
      <c r="J23" s="36"/>
      <c r="K23" s="36"/>
      <c r="L23" s="36"/>
      <c r="M23" s="36"/>
      <c r="N23" s="37"/>
    </row>
    <row r="24" spans="1:14" x14ac:dyDescent="0.35">
      <c r="A24" s="26" t="s">
        <v>74</v>
      </c>
      <c r="B24" s="26"/>
      <c r="C24" s="26"/>
      <c r="D24" s="26"/>
      <c r="E24" s="26"/>
      <c r="G24" s="36"/>
      <c r="H24" s="36"/>
      <c r="I24" s="36"/>
      <c r="J24" s="36"/>
      <c r="K24" s="36"/>
      <c r="L24" s="36"/>
      <c r="M24" s="36"/>
      <c r="N24" s="37"/>
    </row>
    <row r="25" spans="1:14" x14ac:dyDescent="0.35">
      <c r="A25" s="26" t="s">
        <v>75</v>
      </c>
      <c r="B25" s="26"/>
      <c r="C25" s="26"/>
      <c r="D25" s="26"/>
      <c r="E25" s="26"/>
      <c r="G25" s="36"/>
      <c r="H25" s="36"/>
      <c r="I25" s="36"/>
      <c r="J25" s="36"/>
      <c r="K25" s="36"/>
      <c r="L25" s="36"/>
      <c r="M25" s="36"/>
      <c r="N25" s="37"/>
    </row>
    <row r="26" spans="1:14" x14ac:dyDescent="0.35">
      <c r="A26" s="26" t="s">
        <v>76</v>
      </c>
      <c r="B26" s="26"/>
      <c r="C26" s="26"/>
      <c r="D26" s="26"/>
      <c r="E26" s="26"/>
      <c r="G26" s="36"/>
      <c r="H26" s="36"/>
      <c r="I26" s="36"/>
      <c r="J26" s="36"/>
      <c r="K26" s="36"/>
      <c r="L26" s="36"/>
      <c r="M26" s="36"/>
      <c r="N26" s="37"/>
    </row>
    <row r="27" spans="1:14" x14ac:dyDescent="0.35">
      <c r="A27" s="26" t="s">
        <v>79</v>
      </c>
      <c r="B27" s="26"/>
      <c r="C27" s="26"/>
      <c r="D27" s="26"/>
      <c r="E27" s="26"/>
      <c r="G27" s="36"/>
      <c r="H27" s="36"/>
      <c r="I27" s="36"/>
      <c r="J27" s="36"/>
      <c r="K27" s="36"/>
      <c r="L27" s="36"/>
      <c r="M27" s="36"/>
      <c r="N27" s="37"/>
    </row>
    <row r="28" spans="1:14" x14ac:dyDescent="0.35">
      <c r="A28" s="26" t="s">
        <v>77</v>
      </c>
      <c r="B28" s="26"/>
      <c r="C28" s="26"/>
      <c r="D28" s="26"/>
      <c r="E28" s="26"/>
      <c r="G28" s="36"/>
      <c r="H28" s="36"/>
      <c r="I28" s="36"/>
      <c r="J28" s="36"/>
      <c r="K28" s="36"/>
      <c r="L28" s="36"/>
      <c r="M28" s="36"/>
      <c r="N28" s="37"/>
    </row>
    <row r="29" spans="1:14" x14ac:dyDescent="0.35">
      <c r="A29" s="26" t="s">
        <v>78</v>
      </c>
      <c r="B29" s="26"/>
      <c r="C29" s="26"/>
      <c r="D29" s="26"/>
      <c r="E29" s="26"/>
      <c r="G29" s="36"/>
      <c r="H29" s="36"/>
      <c r="I29" s="36"/>
      <c r="J29" s="36"/>
      <c r="K29" s="36"/>
      <c r="L29" s="36"/>
      <c r="M29" s="36"/>
      <c r="N29" s="37"/>
    </row>
    <row r="30" spans="1:14" x14ac:dyDescent="0.35">
      <c r="A30" s="26" t="s">
        <v>39</v>
      </c>
      <c r="B30" s="26"/>
      <c r="C30" s="26"/>
      <c r="D30" s="26"/>
      <c r="E30" s="26"/>
      <c r="G30" s="36"/>
      <c r="H30" s="36"/>
      <c r="I30" s="36"/>
      <c r="J30" s="36"/>
      <c r="K30" s="36"/>
      <c r="L30" s="36"/>
      <c r="M30" s="36"/>
      <c r="N30" s="37"/>
    </row>
    <row r="31" spans="1:14" x14ac:dyDescent="0.35">
      <c r="G31" s="36"/>
      <c r="H31" s="36"/>
      <c r="I31" s="36"/>
      <c r="J31" s="36"/>
      <c r="K31" s="36"/>
      <c r="L31" s="36"/>
      <c r="M31" s="36"/>
      <c r="N31" s="37"/>
    </row>
    <row r="32" spans="1:14" x14ac:dyDescent="0.35">
      <c r="G32" s="36"/>
      <c r="H32" s="36"/>
      <c r="I32" s="36"/>
      <c r="J32" s="36"/>
      <c r="K32" s="36"/>
      <c r="L32" s="36"/>
      <c r="M32" s="36"/>
      <c r="N32" s="37"/>
    </row>
    <row r="33" spans="6:14" x14ac:dyDescent="0.35">
      <c r="G33" s="36"/>
      <c r="H33" s="36"/>
      <c r="I33" s="36"/>
      <c r="J33" s="36"/>
      <c r="K33" s="36"/>
      <c r="L33" s="36"/>
      <c r="M33" s="36"/>
      <c r="N33" s="37"/>
    </row>
    <row r="34" spans="6:14" x14ac:dyDescent="0.35">
      <c r="G34" s="36"/>
      <c r="H34" s="36"/>
      <c r="I34" s="36"/>
      <c r="J34" s="36"/>
      <c r="K34" s="36"/>
      <c r="L34" s="36"/>
      <c r="M34" s="36"/>
      <c r="N34" s="37"/>
    </row>
    <row r="35" spans="6:14" x14ac:dyDescent="0.35">
      <c r="G35" s="36"/>
      <c r="H35" s="36"/>
      <c r="I35" s="36"/>
      <c r="J35" s="36"/>
      <c r="K35" s="36"/>
      <c r="L35" s="36"/>
      <c r="M35" s="36"/>
      <c r="N35" s="37"/>
    </row>
    <row r="36" spans="6:14" x14ac:dyDescent="0.35">
      <c r="G36" s="36"/>
      <c r="H36" s="36"/>
      <c r="I36" s="36"/>
      <c r="J36" s="36"/>
      <c r="K36" s="36"/>
      <c r="L36" s="36"/>
      <c r="M36" s="36"/>
      <c r="N36" s="37"/>
    </row>
    <row r="37" spans="6:14" x14ac:dyDescent="0.35">
      <c r="G37" s="36"/>
      <c r="H37" s="36"/>
      <c r="I37" s="36"/>
      <c r="J37" s="36"/>
      <c r="K37" s="36"/>
      <c r="L37" s="36"/>
      <c r="M37" s="36"/>
      <c r="N37" s="37"/>
    </row>
    <row r="38" spans="6:14" x14ac:dyDescent="0.35">
      <c r="G38" s="36"/>
      <c r="H38" s="36"/>
      <c r="I38" s="36"/>
      <c r="J38" s="36"/>
      <c r="K38" s="36"/>
      <c r="L38" s="36"/>
      <c r="M38" s="36"/>
      <c r="N38" s="37"/>
    </row>
    <row r="39" spans="6:14" x14ac:dyDescent="0.35">
      <c r="F39" s="38"/>
      <c r="G39" s="36"/>
      <c r="H39" s="36"/>
      <c r="I39" s="36"/>
      <c r="J39" s="36"/>
      <c r="K39" s="36"/>
      <c r="L39" s="36"/>
      <c r="M39" s="36"/>
      <c r="N39" s="37"/>
    </row>
    <row r="40" spans="6:14" x14ac:dyDescent="0.35">
      <c r="G40" s="36"/>
      <c r="H40" s="36"/>
      <c r="I40" s="36"/>
      <c r="J40" s="36"/>
      <c r="K40" s="36"/>
      <c r="L40" s="36"/>
      <c r="M40" s="36"/>
      <c r="N40" s="37"/>
    </row>
    <row r="41" spans="6:14" x14ac:dyDescent="0.35">
      <c r="G41" s="37"/>
      <c r="H41" s="37"/>
      <c r="I41" s="37"/>
      <c r="J41" s="37"/>
      <c r="K41" s="37"/>
      <c r="L41" s="37"/>
      <c r="M41" s="37"/>
      <c r="N41" s="37"/>
    </row>
    <row r="42" spans="6:14" x14ac:dyDescent="0.35">
      <c r="G42" s="37"/>
      <c r="H42" s="37"/>
      <c r="I42" s="37"/>
      <c r="J42" s="37"/>
      <c r="K42" s="37"/>
      <c r="L42" s="37"/>
      <c r="M42" s="37"/>
      <c r="N42" s="37"/>
    </row>
    <row r="43" spans="6:14" x14ac:dyDescent="0.35">
      <c r="G43" s="37"/>
      <c r="H43" s="37"/>
      <c r="I43" s="37"/>
      <c r="J43" s="37"/>
      <c r="K43" s="37"/>
      <c r="L43" s="37"/>
      <c r="M43" s="37"/>
      <c r="N43" s="37"/>
    </row>
  </sheetData>
  <mergeCells count="19">
    <mergeCell ref="G21:M21"/>
    <mergeCell ref="A30:E30"/>
    <mergeCell ref="A21:E21"/>
    <mergeCell ref="G22:M40"/>
    <mergeCell ref="A24:E24"/>
    <mergeCell ref="A25:E25"/>
    <mergeCell ref="A26:E26"/>
    <mergeCell ref="A27:E27"/>
    <mergeCell ref="A28:E28"/>
    <mergeCell ref="A29:E29"/>
    <mergeCell ref="A17:C17"/>
    <mergeCell ref="A18:E18"/>
    <mergeCell ref="A22:E22"/>
    <mergeCell ref="A23:E23"/>
    <mergeCell ref="A1:F1"/>
    <mergeCell ref="A2:F2"/>
    <mergeCell ref="A14:G14"/>
    <mergeCell ref="A15:C15"/>
    <mergeCell ref="A16:C16"/>
  </mergeCells>
  <dataValidations count="1">
    <dataValidation type="list" allowBlank="1" showInputMessage="1" showErrorMessage="1" error="Eror WOY_x000a_" sqref="D6:D10" xr:uid="{C5AEFA11-1F5A-41EE-9699-30BB7E7F7D6D}">
      <formula1>"Ya,Tidak"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B6CFB-CCBA-472D-8BAB-5D0CC0E196D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If2Kondisi</vt:lpstr>
      <vt:lpstr>Nilai</vt:lpstr>
      <vt:lpstr>IF AND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Djovita Asmara</dc:creator>
  <cp:lastModifiedBy>Djovita Asmara</cp:lastModifiedBy>
  <dcterms:created xsi:type="dcterms:W3CDTF">2026-09-23T01:17:38Z</dcterms:created>
  <dcterms:modified xsi:type="dcterms:W3CDTF">2026-09-30T03:14:53Z</dcterms:modified>
</cp:coreProperties>
</file>